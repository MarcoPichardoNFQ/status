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rco Pichardo\Downloads\"/>
    </mc:Choice>
  </mc:AlternateContent>
  <xr:revisionPtr revIDLastSave="0" documentId="13_ncr:1_{06311E94-0C74-4FF9-98BA-F917DC3E3F84}" xr6:coauthVersionLast="47" xr6:coauthVersionMax="47" xr10:uidLastSave="{00000000-0000-0000-0000-000000000000}"/>
  <bookViews>
    <workbookView xWindow="600" yWindow="-16320" windowWidth="28320" windowHeight="16440" activeTab="3" xr2:uid="{00000000-000D-0000-FFFF-FFFF00000000}"/>
  </bookViews>
  <sheets>
    <sheet name="dbMegara" sheetId="1" r:id="rId1"/>
    <sheet name="dbReporting" sheetId="2" r:id="rId2"/>
    <sheet name="dbInfra" sheetId="3" r:id="rId3"/>
    <sheet name="dbUA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4" l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<sst xmlns="http://schemas.openxmlformats.org/spreadsheetml/2006/main" count="351" uniqueCount="181">
  <si>
    <t>tema</t>
  </si>
  <si>
    <t>flujo</t>
  </si>
  <si>
    <t>entorno</t>
  </si>
  <si>
    <t>inv</t>
  </si>
  <si>
    <t>tarea</t>
  </si>
  <si>
    <t>comentarios</t>
  </si>
  <si>
    <t>fecha</t>
  </si>
  <si>
    <t>pasos</t>
  </si>
  <si>
    <t/>
  </si>
  <si>
    <t>Sustitución Rundeck.</t>
  </si>
  <si>
    <t>En curso</t>
  </si>
  <si>
    <t>NA</t>
  </si>
  <si>
    <t>NFQ / S3</t>
  </si>
  <si>
    <t>Creacion de solucion</t>
  </si>
  <si>
    <t>7/20/26</t>
  </si>
  <si>
    <t>S3 necesita compartir todos los conjuntos de archivos con informaciones.</t>
  </si>
  <si>
    <t>Option</t>
  </si>
  <si>
    <t>PRD</t>
  </si>
  <si>
    <t>Implementación: Tratamiento para cargas manuales</t>
  </si>
  <si>
    <t>Liberado en UAT</t>
  </si>
  <si>
    <t>8/20/26</t>
  </si>
  <si>
    <t>Interfaces</t>
  </si>
  <si>
    <t>NFQ / S3 / VERMEG</t>
  </si>
  <si>
    <t>UAT</t>
  </si>
  <si>
    <t>Desarrollo listo en UAT</t>
  </si>
  <si>
    <t>9/8/26</t>
  </si>
  <si>
    <t>S3 validara ajuste</t>
  </si>
  <si>
    <t>Asset</t>
  </si>
  <si>
    <t xml:space="preserve">En curso </t>
  </si>
  <si>
    <t>NavBankBalance</t>
  </si>
  <si>
    <t>9/9/26</t>
  </si>
  <si>
    <t>Client Balance</t>
  </si>
  <si>
    <t>XML con registros duplicados</t>
  </si>
  <si>
    <t>8/26/26</t>
  </si>
  <si>
    <t>S3 se encuentra en alaisis con VERMEG</t>
  </si>
  <si>
    <t>Demonstrativo de Caixa</t>
  </si>
  <si>
    <t>PRD UAT</t>
  </si>
  <si>
    <t>Manejo de diferentes currency</t>
  </si>
  <si>
    <t>Se incluiran nuevas monedas a ser mostradas en la extraccion del informe, actualmente en fase 1 (filtrar a BRL)</t>
  </si>
  <si>
    <t>8/12/26</t>
  </si>
  <si>
    <t>Fase 2 contempla el modo multicuenta</t>
  </si>
  <si>
    <t>Filtro predeterminado para idioma</t>
  </si>
  <si>
    <t>8/10/26</t>
  </si>
  <si>
    <t>Es necesario ayuda de s3 para  coordinar pruebas de aceptacion</t>
  </si>
  <si>
    <t>Optimizacion de Informe</t>
  </si>
  <si>
    <t>No se llevò a cabo la llamada para la liberacion de logica</t>
  </si>
  <si>
    <t>Se validará y desplegará</t>
  </si>
  <si>
    <t>Assincronos</t>
  </si>
  <si>
    <t>Esperando respuesta</t>
  </si>
  <si>
    <t>Creacion Assincronos</t>
  </si>
  <si>
    <t>Matriz lista para compartir avances</t>
  </si>
  <si>
    <t>27/05/2026</t>
  </si>
  <si>
    <t>Esperando respuesta de Guilherme</t>
  </si>
  <si>
    <t>Operacoes com TRF</t>
  </si>
  <si>
    <t>Verificacion de logica</t>
  </si>
  <si>
    <t>8/12/26 0:00</t>
  </si>
  <si>
    <t>Dividendos Juros Aporpiados</t>
  </si>
  <si>
    <t xml:space="preserve">No iniciado </t>
  </si>
  <si>
    <t>Fue recibido por parte de S3 apuntamientos de divergencia de informacion</t>
  </si>
  <si>
    <t>Qlik</t>
  </si>
  <si>
    <t>S3 / NTT / NFQ</t>
  </si>
  <si>
    <t>Configuracion cursor</t>
  </si>
  <si>
    <t>9/16/26</t>
  </si>
  <si>
    <t>S3 / NTT / NFQ / VERMEG</t>
  </si>
  <si>
    <t>DDBB</t>
  </si>
  <si>
    <t>Validacion de indices</t>
  </si>
  <si>
    <t>S3 ha compartido una lista de indices a validar</t>
  </si>
  <si>
    <t>9/14/26</t>
  </si>
  <si>
    <t>NFQ analizará la posibildiad de excluir indices</t>
  </si>
  <si>
    <t>Detalhado de Estoque de RF</t>
  </si>
  <si>
    <t>En proceso</t>
  </si>
  <si>
    <t>S3 / NFQ</t>
  </si>
  <si>
    <t>Ajuste</t>
  </si>
  <si>
    <t>- Ajuste de reglas para campos de Lucro / Prejuizo - S3 en validación de ajustes hechos por NFQ</t>
  </si>
  <si>
    <t>03/04/2026</t>
  </si>
  <si>
    <t>Aguardando validacion de S3.</t>
  </si>
  <si>
    <t>Extrato Simplificado</t>
  </si>
  <si>
    <t>Desarrollo</t>
  </si>
  <si>
    <t>- S3 ha validado PDF y XLSX - Liberado en UAT, a la espera de promocion en PRD - A la espera que S3 comparta plantilla de CSV</t>
  </si>
  <si>
    <t>29/04/2026</t>
  </si>
  <si>
    <t>-S3 compartirá template en csv. -NFQ ya ha vuelto a solicitar a S3 que envíe los arquivos</t>
  </si>
  <si>
    <t>Informes Asíncronos</t>
  </si>
  <si>
    <t>NTT / NFQ / VERMEG</t>
  </si>
  <si>
    <t>S3 solicita la creación de informes asíncronos</t>
  </si>
  <si>
    <t>- NFQ ha compartido calendario de entrega para los informes solicitados. - Testes OK de (Fluxo de Caixa, Operacoes Títulos RF) - Espernando repuesta de Operacoes com Titulos de Renda Variavel - NFQ en desarrollo de 1 informe (Extrato Simplificado)</t>
  </si>
  <si>
    <t>22/04/2026</t>
  </si>
  <si>
    <t>Espernado respuesta de Operaciones de Titulos ed Renda Variavel (cliente y fecha) S3 entregará informes de Extrato Simplifcado</t>
  </si>
  <si>
    <t>Nuevas Interfaces</t>
  </si>
  <si>
    <t>Creación de 2 nuevas interfaces (Recalculation_Request, Recalculation_Request_Reason)</t>
  </si>
  <si>
    <t>- Desarrollo realizado en UAT.</t>
  </si>
  <si>
    <t>- Validación de lado S3 para promocionar a UAT</t>
  </si>
  <si>
    <t>Mapeo</t>
  </si>
  <si>
    <t>⚠️UAT</t>
  </si>
  <si>
    <t>S3</t>
  </si>
  <si>
    <t>Validación ajuste en UAT function_meg_sac_stat_cli_addr_t</t>
  </si>
  <si>
    <t>- En espera de validación por parte de S3 para promoción a PRD.</t>
  </si>
  <si>
    <t>07/07/2025</t>
  </si>
  <si>
    <t>Validación de lado S3</t>
  </si>
  <si>
    <t>CA_details_intr</t>
  </si>
  <si>
    <t>- Ajuste de formatos de datos</t>
  </si>
  <si>
    <t>- Ajuste de formatos de datos_x000D_</t>
  </si>
  <si>
    <t>05/09/2025</t>
  </si>
  <si>
    <t>Creación mapeos</t>
  </si>
  <si>
    <t>Nuevos Mapeos</t>
  </si>
  <si>
    <t>-Se encuentra en development 3 novos mapeos que utilizaran la extracción InvestCompanyInstitute</t>
  </si>
  <si>
    <t>-Se encuentra en desarrollo 3 nuevos mapeos que utilizaran la extracción InvestCompanyInstitute_x000D_</t>
  </si>
  <si>
    <t>28/10/2025</t>
  </si>
  <si>
    <t>Ajuste InvestCompanyInstitute</t>
  </si>
  <si>
    <t>NFQ / S3 / Vermeg / NTT</t>
  </si>
  <si>
    <t>Subtabla</t>
  </si>
  <si>
    <t>-Se incluyó una nueva subtabla dentro del XSD, se construyó y promocionó a UAT, a espera de validación de S3</t>
  </si>
  <si>
    <t>❗PRD</t>
  </si>
  <si>
    <t>Errores ejecución de Mapeo</t>
  </si>
  <si>
    <t>- mt_caixa_tipos (longitud de campo) value too long for type character varying(50) - Ajuste en UAT conforme acordado, en espera de confirmación por parte de S3 para promoción a producción.</t>
  </si>
  <si>
    <t>31/10/2025</t>
  </si>
  <si>
    <t>Ajuste Proceso de Carga</t>
  </si>
  <si>
    <t>Ajuste de Interfaz Equity</t>
  </si>
  <si>
    <t>- Fue incluido un nuevo campo, a espera de validación y promoción a PRD</t>
  </si>
  <si>
    <t>- Fue incluido un nuevo campo, a espera de validación y promoción a PRD_x000D_</t>
  </si>
  <si>
    <t>21/01/2026</t>
  </si>
  <si>
    <t>Ajuste de Carga ScriptByClient</t>
  </si>
  <si>
    <t>- Fue realizado un ajuste en la carga de las tablas Megara que alimentan el mapeo SAC_BA_SCRIPT</t>
  </si>
  <si>
    <t>- Fue realizado un ajuste en la carga de las tablas Megara que alimentan el mapeo SAC_BA_SCRIPT_x000D_</t>
  </si>
  <si>
    <t>28/01/2026</t>
  </si>
  <si>
    <t>Información UAT</t>
  </si>
  <si>
    <t>⚫UAT</t>
  </si>
  <si>
    <t>Monitoreamento de cargas</t>
  </si>
  <si>
    <t>- Se requerirá de validaciones de informação por causa de los mapeos en UAT</t>
  </si>
  <si>
    <t>- Se requerirá de validaciones de información por causa de los mapeos en UAT_x000D_</t>
  </si>
  <si>
    <t>- S3 junto con NFQ revisará ambiente, a la espera de activación al equipo de projeto.</t>
  </si>
  <si>
    <t>Datahub Api</t>
  </si>
  <si>
    <t>▶️UAT</t>
  </si>
  <si>
    <t>dh-motivobloqueio</t>
  </si>
  <si>
    <t>- Api Motivo de Bloqueos han sido realizados los ajustes y está pendiente validación por parte de S3</t>
  </si>
  <si>
    <t>- S3 notificará resultados de validaciones_</t>
  </si>
  <si>
    <t>Generacion informes</t>
  </si>
  <si>
    <t>▶️PRD</t>
  </si>
  <si>
    <t>Revisión de informes vacos</t>
  </si>
  <si>
    <t>- Movimentaçao Swap, Dividendos juros apropiados, Posiçao Swap siendo generados en blanco. - Primeros dos arreglados, esperando detalles del tercero.</t>
  </si>
  <si>
    <t>29/01/2026</t>
  </si>
  <si>
    <t>- S3 validará arreglos en los informes. - S3 compartirá detalles de PS para poder dar suporte.</t>
  </si>
  <si>
    <t>Nota de Liquidaçao de Renda Fixa</t>
  </si>
  <si>
    <t>Generación de informe</t>
  </si>
  <si>
    <t>- S3 en análisis de cambio de plantilla para casos sin información. - S3 reporta error en generación de informe. - NFQ hizo ajustes.</t>
  </si>
  <si>
    <t>09/02/2026</t>
  </si>
  <si>
    <t>- S3 analizará cambio de plantilla</t>
  </si>
  <si>
    <t>S3 ha compartido archivos pendientes. Fueron creadas dos funciones adicionales. Se estan llevando a cabo pruebas con archivos reales.</t>
  </si>
  <si>
    <t>S3 tiene que validar este desarrollo</t>
  </si>
  <si>
    <t>CashTransferOrder</t>
  </si>
  <si>
    <t>ParentTicker</t>
  </si>
  <si>
    <t>Liberado en PRD. Incidencia en liberacion por falta de coordinación en recibimiento de archivos</t>
  </si>
  <si>
    <t>En liberaciones posteriores , se alineara junto con VERMEG fecha y hora para despliegues</t>
  </si>
  <si>
    <t>Desarrollo concluido en UAT.</t>
  </si>
  <si>
    <t>No se llevaá a cabo una solución del lado de VERMEG, se ha alineado con Meneses y S3 una necesidad de ajuste para poder integrar en el informe.</t>
  </si>
  <si>
    <t>Se ajustará logica de carga y en secuencia logica de informe</t>
  </si>
  <si>
    <t>NFQ necesita alinear con S3 sobre la falta de valores</t>
  </si>
  <si>
    <t>Completado</t>
  </si>
  <si>
    <t>Se ha modificado configuracion en qlik en relaciona  "Fetch"</t>
  </si>
  <si>
    <t>MEGARA</t>
  </si>
  <si>
    <t>Caida de Módulos</t>
  </si>
  <si>
    <t>Es recurrente la caida de módulo MEGACUSTODY</t>
  </si>
  <si>
    <t xml:space="preserve"> S3 internalizará PARA vermeg</t>
  </si>
  <si>
    <t>Estoque RV</t>
  </si>
  <si>
    <t>Estoque Futuros</t>
  </si>
  <si>
    <t>Estoque Fundos</t>
  </si>
  <si>
    <t>Estoque RF</t>
  </si>
  <si>
    <t>Validacion datos</t>
  </si>
  <si>
    <t>En alineacion con Guilherme/Meneses</t>
  </si>
  <si>
    <t>Datos vdiados</t>
  </si>
  <si>
    <t>Datos validados</t>
  </si>
  <si>
    <t>Se alienara con Meneses query de caga</t>
  </si>
  <si>
    <t>ClientInstruction</t>
  </si>
  <si>
    <t>ValoriePosition</t>
  </si>
  <si>
    <t>Vermeg desplegó en PRD sin alineacion previa</t>
  </si>
  <si>
    <t>Unit</t>
  </si>
  <si>
    <t>Archivo atascado</t>
  </si>
  <si>
    <t>NFQ validará</t>
  </si>
  <si>
    <t>function_meg_sac_pl_cl_patrfut_t</t>
  </si>
  <si>
    <t xml:space="preserve">NFQ / S3 </t>
  </si>
  <si>
    <t>Ajuste en Funcion</t>
  </si>
  <si>
    <t>Ajuste necesario para implmentacion de nuevos campos de DAT_VALUAT, DES_OWNER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</si>
</sst>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opLeftCell="B1" zoomScale="114" workbookViewId="0">
      <selection activeCell="H12" sqref="H12"/>
    </sheetView>
  </sheetViews>
  <sheetFormatPr baseColWidth="10" defaultRowHeight="15.75" x14ac:dyDescent="0.25"/>
  <cols>
    <col min="5" max="5" width="43.875" bestFit="1" customWidth="1"/>
    <col min="6" max="6" width="94.3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8</v>
      </c>
    </row>
    <row r="2" spans="1:10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146</v>
      </c>
      <c r="G2" t="s">
        <v>14</v>
      </c>
      <c r="H2" t="s">
        <v>15</v>
      </c>
      <c r="I2" t="s">
        <v>8</v>
      </c>
      <c r="J2" t="s">
        <v>8</v>
      </c>
    </row>
    <row r="3" spans="1:10" x14ac:dyDescent="0.25">
      <c r="A3" t="s">
        <v>16</v>
      </c>
      <c r="B3" t="s">
        <v>10</v>
      </c>
      <c r="C3" t="s">
        <v>17</v>
      </c>
      <c r="D3" t="s">
        <v>12</v>
      </c>
      <c r="E3" t="s">
        <v>18</v>
      </c>
      <c r="F3" t="s">
        <v>19</v>
      </c>
      <c r="G3" t="s">
        <v>20</v>
      </c>
      <c r="H3" t="s">
        <v>147</v>
      </c>
      <c r="I3" t="s">
        <v>8</v>
      </c>
      <c r="J3" t="s">
        <v>8</v>
      </c>
    </row>
    <row r="4" spans="1:10" x14ac:dyDescent="0.25">
      <c r="A4" t="s">
        <v>21</v>
      </c>
      <c r="B4" t="s">
        <v>10</v>
      </c>
      <c r="C4" t="s">
        <v>17</v>
      </c>
      <c r="D4" t="s">
        <v>12</v>
      </c>
      <c r="E4" t="s">
        <v>149</v>
      </c>
      <c r="F4" t="s">
        <v>150</v>
      </c>
      <c r="G4" t="s">
        <v>20</v>
      </c>
      <c r="H4" t="s">
        <v>151</v>
      </c>
      <c r="I4" t="s">
        <v>8</v>
      </c>
      <c r="J4" t="s">
        <v>8</v>
      </c>
    </row>
    <row r="5" spans="1:10" x14ac:dyDescent="0.25">
      <c r="A5" t="s">
        <v>21</v>
      </c>
      <c r="B5" t="s">
        <v>10</v>
      </c>
      <c r="C5" t="s">
        <v>23</v>
      </c>
      <c r="D5" t="s">
        <v>22</v>
      </c>
      <c r="E5" t="s">
        <v>148</v>
      </c>
      <c r="F5" t="s">
        <v>24</v>
      </c>
      <c r="G5" t="s">
        <v>25</v>
      </c>
      <c r="H5" t="s">
        <v>26</v>
      </c>
      <c r="I5" t="s">
        <v>8</v>
      </c>
      <c r="J5" t="s">
        <v>8</v>
      </c>
    </row>
    <row r="6" spans="1:10" x14ac:dyDescent="0.25">
      <c r="A6" t="s">
        <v>21</v>
      </c>
      <c r="B6" t="s">
        <v>10</v>
      </c>
      <c r="C6" t="s">
        <v>23</v>
      </c>
      <c r="D6" t="s">
        <v>22</v>
      </c>
      <c r="E6" t="s">
        <v>27</v>
      </c>
      <c r="F6" t="s">
        <v>24</v>
      </c>
      <c r="G6" t="s">
        <v>25</v>
      </c>
      <c r="H6" t="s">
        <v>26</v>
      </c>
      <c r="I6" t="s">
        <v>8</v>
      </c>
      <c r="J6" t="s">
        <v>8</v>
      </c>
    </row>
    <row r="7" spans="1:10" x14ac:dyDescent="0.25">
      <c r="A7" t="s">
        <v>21</v>
      </c>
      <c r="B7" t="s">
        <v>28</v>
      </c>
      <c r="C7" t="s">
        <v>23</v>
      </c>
      <c r="D7" t="s">
        <v>22</v>
      </c>
      <c r="E7" t="s">
        <v>29</v>
      </c>
      <c r="F7" t="s">
        <v>24</v>
      </c>
      <c r="G7" t="s">
        <v>30</v>
      </c>
      <c r="H7" t="s">
        <v>26</v>
      </c>
      <c r="I7" t="s">
        <v>8</v>
      </c>
      <c r="J7" t="s">
        <v>8</v>
      </c>
    </row>
    <row r="8" spans="1:10" x14ac:dyDescent="0.25">
      <c r="A8" t="s">
        <v>21</v>
      </c>
      <c r="B8" t="s">
        <v>10</v>
      </c>
      <c r="C8" t="s">
        <v>17</v>
      </c>
      <c r="D8" t="s">
        <v>22</v>
      </c>
      <c r="E8" t="s">
        <v>31</v>
      </c>
      <c r="F8" t="s">
        <v>32</v>
      </c>
      <c r="G8" t="s">
        <v>33</v>
      </c>
      <c r="H8" t="s">
        <v>34</v>
      </c>
      <c r="I8" t="s">
        <v>8</v>
      </c>
      <c r="J8" t="s">
        <v>8</v>
      </c>
    </row>
    <row r="9" spans="1:10" x14ac:dyDescent="0.25">
      <c r="A9" t="s">
        <v>21</v>
      </c>
      <c r="B9" t="s">
        <v>10</v>
      </c>
      <c r="C9" t="s">
        <v>17</v>
      </c>
      <c r="D9" t="s">
        <v>22</v>
      </c>
      <c r="E9" t="s">
        <v>171</v>
      </c>
      <c r="F9" t="s">
        <v>173</v>
      </c>
      <c r="G9" s="3">
        <v>46305</v>
      </c>
      <c r="H9" t="s">
        <v>11</v>
      </c>
    </row>
    <row r="10" spans="1:10" x14ac:dyDescent="0.25">
      <c r="A10" t="s">
        <v>21</v>
      </c>
      <c r="B10" t="s">
        <v>10</v>
      </c>
      <c r="C10" t="s">
        <v>17</v>
      </c>
      <c r="D10" t="s">
        <v>22</v>
      </c>
      <c r="E10" t="s">
        <v>172</v>
      </c>
      <c r="F10" t="s">
        <v>173</v>
      </c>
      <c r="G10" s="3">
        <v>46305</v>
      </c>
      <c r="H10" t="s">
        <v>11</v>
      </c>
    </row>
    <row r="11" spans="1:10" x14ac:dyDescent="0.25">
      <c r="A11" t="s">
        <v>21</v>
      </c>
      <c r="B11" t="s">
        <v>10</v>
      </c>
      <c r="C11" t="s">
        <v>17</v>
      </c>
      <c r="D11" t="s">
        <v>22</v>
      </c>
      <c r="E11" t="s">
        <v>174</v>
      </c>
      <c r="F11" t="s">
        <v>175</v>
      </c>
      <c r="G11" s="3">
        <v>46305</v>
      </c>
      <c r="H11" t="s">
        <v>176</v>
      </c>
    </row>
  </sheetData>
  <pageMargins left="0.7" right="0.7" top="0.75" bottom="0.75" header="0.3" footer="0.3"/>
  <ignoredErrors>
    <ignoredError sqref="A1:J1 A6:J8 A2:E2 G2 I2:J2 B4:D4 I4:J4 A5:D5 F5:J5 G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"/>
  <sheetViews>
    <sheetView workbookViewId="0">
      <selection activeCell="A9" sqref="A9:XFD9"/>
    </sheetView>
  </sheetViews>
  <sheetFormatPr baseColWidth="10" defaultRowHeight="15.7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35</v>
      </c>
      <c r="B2" t="s">
        <v>10</v>
      </c>
      <c r="C2" t="s">
        <v>36</v>
      </c>
      <c r="D2" t="s">
        <v>12</v>
      </c>
      <c r="E2" t="s">
        <v>37</v>
      </c>
      <c r="F2" t="s">
        <v>38</v>
      </c>
      <c r="G2" t="s">
        <v>39</v>
      </c>
      <c r="H2" t="s">
        <v>40</v>
      </c>
    </row>
    <row r="3" spans="1:8" x14ac:dyDescent="0.25">
      <c r="A3" t="s">
        <v>35</v>
      </c>
      <c r="B3" t="s">
        <v>10</v>
      </c>
      <c r="C3" t="s">
        <v>23</v>
      </c>
      <c r="D3" t="s">
        <v>12</v>
      </c>
      <c r="E3" t="s">
        <v>41</v>
      </c>
      <c r="F3" t="s">
        <v>152</v>
      </c>
      <c r="G3" t="s">
        <v>42</v>
      </c>
      <c r="H3" t="s">
        <v>43</v>
      </c>
    </row>
    <row r="4" spans="1:8" ht="16.5" thickBot="1" x14ac:dyDescent="0.3">
      <c r="A4" t="s">
        <v>35</v>
      </c>
      <c r="B4" t="s">
        <v>10</v>
      </c>
      <c r="C4" t="s">
        <v>17</v>
      </c>
      <c r="D4" t="s">
        <v>12</v>
      </c>
      <c r="E4" t="s">
        <v>44</v>
      </c>
      <c r="F4" t="s">
        <v>45</v>
      </c>
      <c r="G4" t="s">
        <v>42</v>
      </c>
      <c r="H4" t="s">
        <v>46</v>
      </c>
    </row>
    <row r="5" spans="1:8" ht="16.5" thickBot="1" x14ac:dyDescent="0.3">
      <c r="A5" s="2" t="s">
        <v>165</v>
      </c>
      <c r="B5" t="s">
        <v>156</v>
      </c>
      <c r="C5" t="s">
        <v>17</v>
      </c>
      <c r="D5" t="s">
        <v>12</v>
      </c>
      <c r="E5" t="s">
        <v>166</v>
      </c>
      <c r="F5" t="s">
        <v>168</v>
      </c>
      <c r="G5" s="3">
        <v>46310</v>
      </c>
      <c r="H5" t="s">
        <v>11</v>
      </c>
    </row>
    <row r="6" spans="1:8" ht="16.5" thickBot="1" x14ac:dyDescent="0.3">
      <c r="A6" s="2" t="s">
        <v>162</v>
      </c>
      <c r="B6" t="s">
        <v>156</v>
      </c>
      <c r="C6" t="s">
        <v>17</v>
      </c>
      <c r="D6" t="s">
        <v>12</v>
      </c>
      <c r="E6" t="s">
        <v>166</v>
      </c>
      <c r="F6" t="s">
        <v>169</v>
      </c>
      <c r="G6" s="3">
        <v>46310</v>
      </c>
      <c r="H6" t="s">
        <v>11</v>
      </c>
    </row>
    <row r="7" spans="1:8" ht="27" thickBot="1" x14ac:dyDescent="0.3">
      <c r="A7" s="2" t="s">
        <v>163</v>
      </c>
      <c r="B7" t="s">
        <v>156</v>
      </c>
      <c r="C7" t="s">
        <v>17</v>
      </c>
      <c r="D7" t="s">
        <v>12</v>
      </c>
      <c r="E7" t="s">
        <v>166</v>
      </c>
      <c r="F7" t="s">
        <v>169</v>
      </c>
      <c r="G7" s="3">
        <v>46310</v>
      </c>
      <c r="H7" t="s">
        <v>11</v>
      </c>
    </row>
    <row r="8" spans="1:8" ht="27" thickBot="1" x14ac:dyDescent="0.3">
      <c r="A8" s="2" t="s">
        <v>164</v>
      </c>
      <c r="B8" t="s">
        <v>10</v>
      </c>
      <c r="C8" t="s">
        <v>17</v>
      </c>
      <c r="D8" t="s">
        <v>12</v>
      </c>
      <c r="E8" t="s">
        <v>166</v>
      </c>
      <c r="F8" t="s">
        <v>167</v>
      </c>
      <c r="G8" s="3">
        <v>46310</v>
      </c>
      <c r="H8" t="s">
        <v>170</v>
      </c>
    </row>
    <row r="9" spans="1:8" x14ac:dyDescent="0.25">
      <c r="A9" t="s">
        <v>47</v>
      </c>
      <c r="B9" t="s">
        <v>48</v>
      </c>
      <c r="C9" t="s">
        <v>36</v>
      </c>
      <c r="D9" t="s">
        <v>12</v>
      </c>
      <c r="E9" t="s">
        <v>49</v>
      </c>
      <c r="F9" t="s">
        <v>50</v>
      </c>
      <c r="G9" t="s">
        <v>51</v>
      </c>
      <c r="H9" t="s">
        <v>52</v>
      </c>
    </row>
    <row r="10" spans="1:8" x14ac:dyDescent="0.25">
      <c r="A10" t="s">
        <v>53</v>
      </c>
      <c r="B10" t="s">
        <v>10</v>
      </c>
      <c r="C10" t="s">
        <v>17</v>
      </c>
      <c r="D10" t="s">
        <v>12</v>
      </c>
      <c r="E10" t="s">
        <v>54</v>
      </c>
      <c r="F10" t="s">
        <v>153</v>
      </c>
      <c r="G10" t="s">
        <v>55</v>
      </c>
      <c r="H10" t="s">
        <v>154</v>
      </c>
    </row>
    <row r="11" spans="1:8" x14ac:dyDescent="0.25">
      <c r="A11" t="s">
        <v>56</v>
      </c>
      <c r="B11" t="s">
        <v>57</v>
      </c>
      <c r="C11" t="s">
        <v>23</v>
      </c>
      <c r="D11" t="s">
        <v>12</v>
      </c>
      <c r="E11" t="s">
        <v>54</v>
      </c>
      <c r="F11" t="s">
        <v>58</v>
      </c>
      <c r="G11" t="s">
        <v>55</v>
      </c>
      <c r="H11" t="s">
        <v>155</v>
      </c>
    </row>
    <row r="12" spans="1:8" x14ac:dyDescent="0.25">
      <c r="H12" s="1"/>
    </row>
  </sheetData>
  <pageMargins left="0.7" right="0.7" top="0.75" bottom="0.75" header="0.3" footer="0.3"/>
  <ignoredErrors>
    <ignoredError sqref="A1:H2 A9:H9 A3:E3 G3:H3 A4:E4 G4:H4 A11:G11 A10:E10 G10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"/>
  <sheetViews>
    <sheetView workbookViewId="0">
      <selection activeCell="C19" sqref="C19"/>
    </sheetView>
  </sheetViews>
  <sheetFormatPr baseColWidth="10" defaultRowHeight="15.7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59</v>
      </c>
      <c r="B2" t="s">
        <v>156</v>
      </c>
      <c r="C2" t="s">
        <v>17</v>
      </c>
      <c r="D2" t="s">
        <v>60</v>
      </c>
      <c r="E2" t="s">
        <v>61</v>
      </c>
      <c r="F2" t="s">
        <v>157</v>
      </c>
      <c r="G2" t="s">
        <v>62</v>
      </c>
      <c r="H2" t="s">
        <v>11</v>
      </c>
    </row>
    <row r="3" spans="1:8" x14ac:dyDescent="0.25">
      <c r="A3" t="s">
        <v>158</v>
      </c>
      <c r="B3" t="s">
        <v>10</v>
      </c>
      <c r="C3" t="s">
        <v>17</v>
      </c>
      <c r="D3" t="s">
        <v>63</v>
      </c>
      <c r="E3" t="s">
        <v>159</v>
      </c>
      <c r="F3" t="s">
        <v>160</v>
      </c>
      <c r="G3" t="s">
        <v>62</v>
      </c>
      <c r="H3" t="s">
        <v>161</v>
      </c>
    </row>
    <row r="4" spans="1:8" x14ac:dyDescent="0.25">
      <c r="A4" t="s">
        <v>64</v>
      </c>
      <c r="B4" t="s">
        <v>10</v>
      </c>
      <c r="C4" t="s">
        <v>17</v>
      </c>
      <c r="D4" t="s">
        <v>60</v>
      </c>
      <c r="E4" t="s">
        <v>65</v>
      </c>
      <c r="F4" t="s">
        <v>66</v>
      </c>
      <c r="G4" t="s">
        <v>67</v>
      </c>
      <c r="H4" t="s">
        <v>68</v>
      </c>
    </row>
  </sheetData>
  <pageMargins left="0.7" right="0.7" top="0.75" bottom="0.75" header="0.3" footer="0.3"/>
  <ignoredErrors>
    <ignoredError sqref="A1:H1 A4:H4 A2 D2:E2 G2 B3:D3 G3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7"/>
  <sheetViews>
    <sheetView tabSelected="1" workbookViewId="0">
      <selection activeCell="H15" sqref="H15"/>
    </sheetView>
  </sheetViews>
  <sheetFormatPr baseColWidth="10" defaultRowHeight="15.7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69</v>
      </c>
      <c r="B2" t="s">
        <v>70</v>
      </c>
      <c r="C2" t="s">
        <v>17</v>
      </c>
      <c r="D2" t="s">
        <v>71</v>
      </c>
      <c r="E2" t="s">
        <v>72</v>
      </c>
      <c r="F2" t="s">
        <v>73</v>
      </c>
      <c r="G2" t="s">
        <v>74</v>
      </c>
      <c r="H2" t="s">
        <v>75</v>
      </c>
    </row>
    <row r="3" spans="1:8" x14ac:dyDescent="0.25">
      <c r="A3" t="s">
        <v>76</v>
      </c>
      <c r="B3" t="s">
        <v>70</v>
      </c>
      <c r="C3" t="s">
        <v>17</v>
      </c>
      <c r="D3" t="s">
        <v>71</v>
      </c>
      <c r="E3" t="s">
        <v>77</v>
      </c>
      <c r="F3" t="s">
        <v>78</v>
      </c>
      <c r="G3" t="s">
        <v>79</v>
      </c>
      <c r="H3" t="s">
        <v>80</v>
      </c>
    </row>
    <row r="4" spans="1:8" x14ac:dyDescent="0.25">
      <c r="A4" t="s">
        <v>81</v>
      </c>
      <c r="B4" t="s">
        <v>70</v>
      </c>
      <c r="C4" t="s">
        <v>17</v>
      </c>
      <c r="D4" t="s">
        <v>82</v>
      </c>
      <c r="E4" t="s">
        <v>83</v>
      </c>
      <c r="F4" t="s">
        <v>84</v>
      </c>
      <c r="G4" t="s">
        <v>85</v>
      </c>
      <c r="H4" t="s">
        <v>86</v>
      </c>
    </row>
    <row r="5" spans="1:8" x14ac:dyDescent="0.25">
      <c r="A5" t="s">
        <v>87</v>
      </c>
      <c r="B5" t="s">
        <v>70</v>
      </c>
      <c r="C5" t="s">
        <v>17</v>
      </c>
      <c r="D5" t="s">
        <v>12</v>
      </c>
      <c r="E5" t="s">
        <v>88</v>
      </c>
      <c r="F5" t="s">
        <v>89</v>
      </c>
      <c r="G5" t="s">
        <v>79</v>
      </c>
      <c r="H5" t="s">
        <v>90</v>
      </c>
    </row>
    <row r="6" spans="1:8" x14ac:dyDescent="0.25">
      <c r="A6" t="s">
        <v>91</v>
      </c>
      <c r="B6" t="s">
        <v>92</v>
      </c>
      <c r="C6" t="s">
        <v>93</v>
      </c>
      <c r="D6" t="s">
        <v>94</v>
      </c>
      <c r="E6" t="s">
        <v>95</v>
      </c>
      <c r="F6" t="s">
        <v>95</v>
      </c>
      <c r="G6" t="s">
        <v>96</v>
      </c>
      <c r="H6" t="s">
        <v>97</v>
      </c>
    </row>
    <row r="7" spans="1:8" x14ac:dyDescent="0.25">
      <c r="A7" t="s">
        <v>64</v>
      </c>
      <c r="B7" t="s">
        <v>92</v>
      </c>
      <c r="C7" t="s">
        <v>93</v>
      </c>
      <c r="D7" t="s">
        <v>98</v>
      </c>
      <c r="E7" t="s">
        <v>99</v>
      </c>
      <c r="F7" t="s">
        <v>100</v>
      </c>
      <c r="G7" t="s">
        <v>101</v>
      </c>
      <c r="H7" t="s">
        <v>97</v>
      </c>
    </row>
    <row r="8" spans="1:8" x14ac:dyDescent="0.25">
      <c r="A8" t="s">
        <v>102</v>
      </c>
      <c r="B8" t="s">
        <v>92</v>
      </c>
      <c r="C8" t="s">
        <v>12</v>
      </c>
      <c r="D8" t="s">
        <v>103</v>
      </c>
      <c r="E8" t="s">
        <v>104</v>
      </c>
      <c r="F8" t="s">
        <v>105</v>
      </c>
      <c r="G8" t="s">
        <v>106</v>
      </c>
      <c r="H8" t="s">
        <v>97</v>
      </c>
    </row>
    <row r="9" spans="1:8" x14ac:dyDescent="0.25">
      <c r="A9" t="s">
        <v>107</v>
      </c>
      <c r="B9" t="s">
        <v>92</v>
      </c>
      <c r="C9" t="s">
        <v>108</v>
      </c>
      <c r="D9" t="s">
        <v>109</v>
      </c>
      <c r="E9" t="s">
        <v>110</v>
      </c>
      <c r="F9" t="s">
        <v>110</v>
      </c>
      <c r="G9" t="s">
        <v>106</v>
      </c>
      <c r="H9" t="s">
        <v>97</v>
      </c>
    </row>
    <row r="10" spans="1:8" x14ac:dyDescent="0.25">
      <c r="A10" t="s">
        <v>91</v>
      </c>
      <c r="B10" t="s">
        <v>111</v>
      </c>
      <c r="C10" t="s">
        <v>12</v>
      </c>
      <c r="D10" t="s">
        <v>112</v>
      </c>
      <c r="E10" t="s">
        <v>113</v>
      </c>
      <c r="F10" t="s">
        <v>113</v>
      </c>
      <c r="G10" t="s">
        <v>114</v>
      </c>
      <c r="H10" t="s">
        <v>97</v>
      </c>
    </row>
    <row r="11" spans="1:8" x14ac:dyDescent="0.25">
      <c r="A11" t="s">
        <v>115</v>
      </c>
      <c r="B11" t="s">
        <v>92</v>
      </c>
      <c r="C11" t="s">
        <v>12</v>
      </c>
      <c r="D11" t="s">
        <v>116</v>
      </c>
      <c r="E11" t="s">
        <v>117</v>
      </c>
      <c r="F11" t="s">
        <v>118</v>
      </c>
      <c r="G11" t="s">
        <v>119</v>
      </c>
      <c r="H11" t="s">
        <v>97</v>
      </c>
    </row>
    <row r="12" spans="1:8" x14ac:dyDescent="0.25">
      <c r="A12" t="s">
        <v>115</v>
      </c>
      <c r="B12" t="s">
        <v>92</v>
      </c>
      <c r="C12" t="s">
        <v>12</v>
      </c>
      <c r="D12" t="s">
        <v>120</v>
      </c>
      <c r="E12" t="s">
        <v>121</v>
      </c>
      <c r="F12" t="s">
        <v>122</v>
      </c>
      <c r="G12" t="s">
        <v>123</v>
      </c>
      <c r="H12" t="s">
        <v>97</v>
      </c>
    </row>
    <row r="13" spans="1:8" x14ac:dyDescent="0.25">
      <c r="A13" t="s">
        <v>124</v>
      </c>
      <c r="B13" t="s">
        <v>125</v>
      </c>
      <c r="C13" t="s">
        <v>12</v>
      </c>
      <c r="D13" t="s">
        <v>126</v>
      </c>
      <c r="E13" t="s">
        <v>127</v>
      </c>
      <c r="F13" t="s">
        <v>128</v>
      </c>
      <c r="G13" t="s">
        <v>114</v>
      </c>
      <c r="H13" t="s">
        <v>129</v>
      </c>
    </row>
    <row r="14" spans="1:8" x14ac:dyDescent="0.25">
      <c r="A14" t="s">
        <v>130</v>
      </c>
      <c r="B14" t="s">
        <v>131</v>
      </c>
      <c r="C14" t="s">
        <v>12</v>
      </c>
      <c r="D14" t="s">
        <v>132</v>
      </c>
      <c r="E14" t="s">
        <v>133</v>
      </c>
      <c r="F14" t="s">
        <v>133</v>
      </c>
      <c r="G14" t="s">
        <v>119</v>
      </c>
      <c r="H14" t="s">
        <v>134</v>
      </c>
    </row>
    <row r="15" spans="1:8" x14ac:dyDescent="0.25">
      <c r="A15" t="s">
        <v>135</v>
      </c>
      <c r="B15" t="s">
        <v>136</v>
      </c>
      <c r="C15" t="s">
        <v>71</v>
      </c>
      <c r="D15" t="s">
        <v>137</v>
      </c>
      <c r="E15" t="s">
        <v>138</v>
      </c>
      <c r="F15" t="s">
        <v>138</v>
      </c>
      <c r="G15" t="s">
        <v>139</v>
      </c>
      <c r="H15" t="s">
        <v>140</v>
      </c>
    </row>
    <row r="16" spans="1:8" x14ac:dyDescent="0.25">
      <c r="A16" t="s">
        <v>141</v>
      </c>
      <c r="B16" t="s">
        <v>136</v>
      </c>
      <c r="C16" t="s">
        <v>71</v>
      </c>
      <c r="D16" t="s">
        <v>142</v>
      </c>
      <c r="E16" t="s">
        <v>143</v>
      </c>
      <c r="F16" t="s">
        <v>143</v>
      </c>
      <c r="G16" t="s">
        <v>144</v>
      </c>
      <c r="H16" t="s">
        <v>145</v>
      </c>
    </row>
    <row r="17" spans="1:8" x14ac:dyDescent="0.25">
      <c r="A17" t="s">
        <v>177</v>
      </c>
      <c r="B17" t="s">
        <v>70</v>
      </c>
      <c r="C17" t="s">
        <v>23</v>
      </c>
      <c r="D17" t="s">
        <v>178</v>
      </c>
      <c r="E17" t="s">
        <v>179</v>
      </c>
      <c r="F17" t="s">
        <v>180</v>
      </c>
      <c r="G17" s="3">
        <v>46321</v>
      </c>
      <c r="H17" t="e" cm="1">
        <f t="array" ref="H17">- S3 tiene que validar ajustes hechos en UAT</f>
        <v>#NAME?</v>
      </c>
    </row>
  </sheetData>
  <pageMargins left="0.7" right="0.7" top="0.75" bottom="0.75" header="0.3" footer="0.3"/>
  <ignoredErrors>
    <ignoredError sqref="A1:H1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dbMegara</vt:lpstr>
      <vt:lpstr>dbReporting</vt:lpstr>
      <vt:lpstr>dbInfra</vt:lpstr>
      <vt:lpstr>dbUAT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Marco Jesus  Pichardo Franco</cp:lastModifiedBy>
  <dcterms:modified xsi:type="dcterms:W3CDTF">2026-10-27T00:10:17Z</dcterms:modified>
</cp:coreProperties>
</file>