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Marco Pichardo\Downloads\"/>
    </mc:Choice>
  </mc:AlternateContent>
  <xr:revisionPtr revIDLastSave="0" documentId="13_ncr:1_{E78804A9-32F1-4902-AA47-7C117483568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dbMegara" sheetId="1" r:id="rId1"/>
    <sheet name="dbReporting" sheetId="2" r:id="rId2"/>
    <sheet name="dbInfra" sheetId="3" r:id="rId3"/>
    <sheet name="dbUAT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1" l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<sst xmlns="http://schemas.openxmlformats.org/spreadsheetml/2006/main" count="290" uniqueCount="142">
  <si>
    <t>tema</t>
  </si>
  <si>
    <t>tarea</t>
  </si>
  <si>
    <t>entorno</t>
  </si>
  <si>
    <t>flujo</t>
  </si>
  <si>
    <t>inv</t>
  </si>
  <si>
    <t>fecha</t>
  </si>
  <si>
    <t>comentarios</t>
  </si>
  <si>
    <t>pasos</t>
  </si>
  <si>
    <t>Sustitución Rundeck.</t>
  </si>
  <si>
    <t>NA</t>
  </si>
  <si>
    <t>En proceso</t>
  </si>
  <si>
    <t>NFQ / S3</t>
  </si>
  <si>
    <t>Ajuste Proceso de Carga</t>
  </si>
  <si>
    <t>PRD</t>
  </si>
  <si>
    <t>Completado</t>
  </si>
  <si>
    <t>- Fue ajustada funcion de mapeamento</t>
  </si>
  <si>
    <t>Extrato Simplificado</t>
  </si>
  <si>
    <t>Desarrollo</t>
  </si>
  <si>
    <t>S3 / NFQ</t>
  </si>
  <si>
    <t>29/04/2026</t>
  </si>
  <si>
    <t>S3 / VERMEG</t>
  </si>
  <si>
    <t>Nuevas Interfaces</t>
  </si>
  <si>
    <t>Nuevos reportes</t>
  </si>
  <si>
    <t>Creación de reporte: Relatório de Estoque de Cotas de Fundos</t>
  </si>
  <si>
    <t>Creación de reporte: Relatório de Estoque de Futuros</t>
  </si>
  <si>
    <t>Creación de reporte: Relatório de Estoque de RV</t>
  </si>
  <si>
    <t>Creación de reporte: Relatório de Estoque de RF</t>
  </si>
  <si>
    <t>UAT</t>
  </si>
  <si>
    <t>- Opciones de interfaces compartidas por S3:
CGC Position, Valorized Position,Net Asset, Payable Receivable
- La POC ha sido presentada.</t>
  </si>
  <si>
    <t>18/05/2026</t>
  </si>
  <si>
    <t>- S3 ha validado PDF y XLSX
- Liberado en UAT, a la espera de promocion en PRD
- A la espera que S3 comparta plantilla de CSV</t>
  </si>
  <si>
    <t>-S3 compartirá template en csv.
-NFQ ya ha vuelto a solicitar a S3 que envíe los archivos</t>
  </si>
  <si>
    <t>Demonstrativo de caixa</t>
  </si>
  <si>
    <t>S3 / NFQ / VERMEG</t>
  </si>
  <si>
    <t>Saldos</t>
  </si>
  <si>
    <t>Detalhado de Estoque de RF</t>
  </si>
  <si>
    <t>Ajuste</t>
  </si>
  <si>
    <t>- Ajuste de reglas para campos de Lucro / Prejuizo
- S3 en validación de ajustes hechos por NFQ</t>
  </si>
  <si>
    <t>Aguardando validacion de S3.</t>
  </si>
  <si>
    <t>24/3/2026</t>
  </si>
  <si>
    <t>API</t>
  </si>
  <si>
    <t>Llamada de MEGARA desde Rundeck</t>
  </si>
  <si>
    <t>- NFQ ha implementado solución y se encuentra operativa en PRD
- Fallas ocasionaes de lado de Megara (Durante la implementación de las interfaces, Megacustody se bloqueó)
- La activación manual de Scheduled Megara mientras la API estaba activada ha provocado problemas</t>
  </si>
  <si>
    <t>- S3 alineará internamente</t>
  </si>
  <si>
    <t>Informes Asíncronos</t>
  </si>
  <si>
    <t>NTT / NFQ / VERMEG</t>
  </si>
  <si>
    <t>S3 solicita la creación de informes asíncronos</t>
  </si>
  <si>
    <t>- NFQ ha compartido calendario de entrega para los informes solicitados.
- Testes OK de (Fluxo de Caixa, Operacoes Títulos RF)
- Espernando repuesta de Operacoes com Titulos de Renda Variavel
- NFQ en desarrollo de 1 informe (Extrato Simplificado)</t>
  </si>
  <si>
    <t>Espernado respuesta de Operaciones de Titulos ed Renda Variavel (cliente y fecha)
S3 entregará informes de Extrato Simplifcado</t>
  </si>
  <si>
    <t>Creación de 2 nuevas interfaces (Recalculation_Request, 
Recalculation_Request_Reason)</t>
  </si>
  <si>
    <t>- Desarrollo realizado en UAT.</t>
  </si>
  <si>
    <t>Mapeo</t>
  </si>
  <si>
    <t>S3</t>
  </si>
  <si>
    <t>Validación ajuste en UAT function_meg_sac_stat_cli_addr_t</t>
  </si>
  <si>
    <t>- En espera de validación por parte de S3 para promoción a PRD.</t>
  </si>
  <si>
    <t>Validación de lado S3</t>
  </si>
  <si>
    <t>DDBB</t>
  </si>
  <si>
    <t>CA_details_intr</t>
  </si>
  <si>
    <t>- Ajuste de formatos de datos</t>
  </si>
  <si>
    <t>Creación mapeos</t>
  </si>
  <si>
    <t>Nuevos Mapeos</t>
  </si>
  <si>
    <t>-Se encuentra en desarrollo 3 nuevos mapeos que utilizaran la extracción InvestCompanyInstitute</t>
  </si>
  <si>
    <t>Ajuste InvestCompanyInstitute</t>
  </si>
  <si>
    <t>NFQ / S3 / Vermeg / NTT</t>
  </si>
  <si>
    <t>Subtabla</t>
  </si>
  <si>
    <t>-Se incluyó una nueva subtabla dentro del XSD, se construyó y promocionó a UAT, a espera de validación de S3</t>
  </si>
  <si>
    <t>Errores ejecución de Mapeo</t>
  </si>
  <si>
    <t>- mt_caixa_tipos (longitud de campo)
value too long for type character varying(50)
- Ajuste en UAT conforme acordado, en espera de confirmación por parte de S3 para promoción a producción.</t>
  </si>
  <si>
    <t>Ajuste de Interfaz Equity</t>
  </si>
  <si>
    <t>- Fue incluido un nuevo campo, a espera de validación y promoción a PRD</t>
  </si>
  <si>
    <t>Ajuste de Carga ScriptByClient</t>
  </si>
  <si>
    <t>- Fue realizado un ajuste en la carga de las tablas Megara que alimentan el mapeo SAC_BA_SCRIPT</t>
  </si>
  <si>
    <t>Información UAT</t>
  </si>
  <si>
    <t>Monitoreamento de cargas</t>
  </si>
  <si>
    <t>- Se requerirá de validaciones de información por causa de los mapeos en UAT</t>
  </si>
  <si>
    <t>- S3 junto con NFQ revisará ambiente, a la espera de activación al equipo de proyecto</t>
  </si>
  <si>
    <t>Datahub Api</t>
  </si>
  <si>
    <t>dh-motivobloqueio</t>
  </si>
  <si>
    <t>- Api Motivo de Bloqueos han sido realizados los ajustes y está pendiente validación por parte de S3</t>
  </si>
  <si>
    <t>- S3 notificará resultados de validaciones</t>
  </si>
  <si>
    <t>Generacion informes</t>
  </si>
  <si>
    <t>Revisión de informes vacos</t>
  </si>
  <si>
    <t xml:space="preserve">- Movimentaçao Swap, Dividendos juros apropiados,Posiçao Swap.siendo generados en blanco.
- Primeros dos arreglados, esperando detalles del tercero.
</t>
  </si>
  <si>
    <t>- S3 validará arreglos en los informes.
- S3 compartirá detalles de PS para poder dar soporte.</t>
  </si>
  <si>
    <t>Nota de Liquidaçao de Renda Fixa</t>
  </si>
  <si>
    <t>Generación de informe</t>
  </si>
  <si>
    <t>- S3 en análisis de cambio de plantilla para casos sin información.
- S3 reporta error en generación de informe.
- NFQ hizo ajustes.</t>
  </si>
  <si>
    <t>- S3 analizará cambio de plantilla</t>
  </si>
  <si>
    <t>function_meg_cart_pos_rv_t</t>
  </si>
  <si>
    <t>function_meg_sac_pl_cl_patrrv_t</t>
  </si>
  <si>
    <t>09/04/2026</t>
  </si>
  <si>
    <t>27/05/2026</t>
  </si>
  <si>
    <t>03/04/2026</t>
  </si>
  <si>
    <t>22/04/2026</t>
  </si>
  <si>
    <t>28/10/2025</t>
  </si>
  <si>
    <t>31/10/2025</t>
  </si>
  <si>
    <t>21/01/2026</t>
  </si>
  <si>
    <t>▶️</t>
  </si>
  <si>
    <t>29/01/2026</t>
  </si>
  <si>
    <t>09/02/2026</t>
  </si>
  <si>
    <t>05/09/2025</t>
  </si>
  <si>
    <t>Nueva Interfaz</t>
  </si>
  <si>
    <t>Nuevos Campis</t>
  </si>
  <si>
    <t>Ajuste campo</t>
  </si>
  <si>
    <t>No iniciado</t>
  </si>
  <si>
    <t>03/06/2026</t>
  </si>
  <si>
    <t>function_meg_cart_estat_clibas_t</t>
  </si>
  <si>
    <t>10/06/2026</t>
  </si>
  <si>
    <t>function_meg_sac_stat_rv_cadpap_t1</t>
  </si>
  <si>
    <t>29/05/2026</t>
  </si>
  <si>
    <t>function_meg_sac_stat_rv_cadpap_t</t>
  </si>
  <si>
    <t>09/06/2026</t>
  </si>
  <si>
    <t>Swap Prices</t>
  </si>
  <si>
    <t>- Aguardando Vobo de S3 para implantacion</t>
  </si>
  <si>
    <t>- S3 validará desarrollo</t>
  </si>
  <si>
    <t>Client iInstruction</t>
  </si>
  <si>
    <t>- Esperando validación de S3</t>
  </si>
  <si>
    <t>Valorized Position</t>
  </si>
  <si>
    <t>- Esperado nueva extracción con calidad de informacion por parte de S3</t>
  </si>
  <si>
    <t>- S3 compartirá nuevo cml para poder realizar desarrollo</t>
  </si>
  <si>
    <t>Supervision Dashboard</t>
  </si>
  <si>
    <t>- S3 solicita ajuste de campo en supervision dhasboard</t>
  </si>
  <si>
    <t>- NFQ ajustara segun el orden de prioridad de tareas</t>
  </si>
  <si>
    <t>- Informe Disponibilizado en UAT</t>
  </si>
  <si>
    <t>- Vermeg ha modificado la configuración de SupervisionDashboard en PRD para que se ejecute a las 06:00 (Horário de Brasilia)</t>
  </si>
  <si>
    <t>Operações com Título de Renda Fixa</t>
  </si>
  <si>
    <t>Reglas</t>
  </si>
  <si>
    <t>- Se ha ajustado la regla de visualización de los saldos de los fondos MEGARA.</t>
  </si>
  <si>
    <t>- Se realizará desarrollo segun orden de priorización</t>
  </si>
  <si>
    <t>Archivos Carga</t>
  </si>
  <si>
    <t>Modulos Megara</t>
  </si>
  <si>
    <t>- Caida de MegaCustody Intraday</t>
  </si>
  <si>
    <t>- Se seguirá compartiendo alerta</t>
  </si>
  <si>
    <t>- Validación de lado S3 para pomocionar a UAT</t>
  </si>
  <si>
    <t>⚠️</t>
  </si>
  <si>
    <t>07/07/2025</t>
  </si>
  <si>
    <t>❗</t>
  </si>
  <si>
    <t>28/01/2026</t>
  </si>
  <si>
    <t>⚫</t>
  </si>
  <si>
    <t>11/06/2026</t>
  </si>
  <si>
    <t>24/03/2026</t>
  </si>
  <si>
    <t>Creación de Solución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</si>
</sst>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7"/>
      <color theme="1"/>
      <name val="Arial"/>
      <family val="2"/>
    </font>
    <font>
      <sz val="8"/>
      <color rgb="FF595959"/>
      <name val="Arial"/>
      <family val="2"/>
    </font>
    <font>
      <u/>
      <sz val="7"/>
      <color theme="1"/>
      <name val="Arial"/>
      <family val="2"/>
    </font>
    <font>
      <b/>
      <sz val="7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4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horizontal="center"/>
    </xf>
    <xf numFmtId="0" fontId="1" fillId="0" borderId="0" xfId="0" applyFont="1"/>
    <xf numFmtId="0" fontId="1" fillId="2" borderId="0" xfId="0" applyFont="1" applyFill="1"/>
    <xf numFmtId="0" fontId="2" fillId="0" borderId="0" xfId="0" applyFont="1"/>
    <xf numFmtId="49" fontId="1" fillId="0" borderId="0" xfId="0" applyNumberFormat="1" applyFont="1" applyAlignment="1">
      <alignment horizontal="center" vertical="center"/>
    </xf>
    <xf numFmtId="49" fontId="3" fillId="0" borderId="0" xfId="0" applyNumberFormat="1" applyFont="1" applyAlignment="1">
      <alignment horizontal="center" vertical="center"/>
    </xf>
    <xf numFmtId="49" fontId="0" fillId="0" borderId="0" xfId="0" applyNumberFormat="1"/>
    <xf numFmtId="49" fontId="1" fillId="0" borderId="0" xfId="0" applyNumberFormat="1" applyFont="1"/>
    <xf numFmtId="0" fontId="1" fillId="0" borderId="0" xfId="0" applyFont="1" applyAlignment="1">
      <alignment wrapText="1"/>
    </xf>
    <xf numFmtId="0" fontId="1" fillId="0" borderId="0" xfId="0" applyFont="1" applyAlignment="1">
      <alignment vertical="center" wrapText="1"/>
    </xf>
    <xf numFmtId="0" fontId="4" fillId="2" borderId="1" xfId="0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0" borderId="3" xfId="0" applyFont="1" applyBorder="1" applyAlignment="1">
      <alignment horizontal="center"/>
    </xf>
    <xf numFmtId="49" fontId="1" fillId="0" borderId="1" xfId="0" applyNumberFormat="1" applyFont="1" applyBorder="1" applyAlignment="1">
      <alignment horizontal="center" vertical="center"/>
    </xf>
    <xf numFmtId="49" fontId="1" fillId="0" borderId="2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14" fontId="0" fillId="0" borderId="0" xfId="0" applyNumberForma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8"/>
  <sheetViews>
    <sheetView tabSelected="1" topLeftCell="B1" zoomScale="153" workbookViewId="0">
      <selection activeCell="E3" sqref="E3"/>
    </sheetView>
  </sheetViews>
  <sheetFormatPr baseColWidth="10" defaultColWidth="9.140625" defaultRowHeight="15" x14ac:dyDescent="0.25"/>
  <cols>
    <col min="1" max="1" width="16.140625" bestFit="1" customWidth="1"/>
    <col min="2" max="2" width="9" bestFit="1" customWidth="1"/>
    <col min="3" max="3" width="5.7109375" bestFit="1" customWidth="1"/>
    <col min="4" max="4" width="6.42578125" bestFit="1" customWidth="1"/>
    <col min="5" max="5" width="38.85546875" bestFit="1" customWidth="1"/>
    <col min="6" max="6" width="47.28515625" bestFit="1" customWidth="1"/>
    <col min="7" max="7" width="10.85546875" bestFit="1" customWidth="1"/>
    <col min="8" max="8" width="25" bestFit="1" customWidth="1"/>
  </cols>
  <sheetData>
    <row r="1" spans="1:8" x14ac:dyDescent="0.25">
      <c r="A1" s="1" t="s">
        <v>0</v>
      </c>
      <c r="B1" s="2" t="s">
        <v>3</v>
      </c>
      <c r="C1" s="3" t="s">
        <v>2</v>
      </c>
      <c r="D1" t="s">
        <v>4</v>
      </c>
      <c r="E1" t="s">
        <v>1</v>
      </c>
      <c r="F1" t="s">
        <v>6</v>
      </c>
      <c r="G1" t="s">
        <v>5</v>
      </c>
      <c r="H1" t="s">
        <v>7</v>
      </c>
    </row>
    <row r="2" spans="1:8" ht="27" x14ac:dyDescent="0.25">
      <c r="A2" s="4" t="s">
        <v>8</v>
      </c>
      <c r="B2" s="5" t="s">
        <v>10</v>
      </c>
      <c r="C2" s="3" t="s">
        <v>9</v>
      </c>
      <c r="D2" s="3" t="s">
        <v>11</v>
      </c>
      <c r="E2" s="3" t="s">
        <v>141</v>
      </c>
      <c r="F2" s="16" t="s">
        <v>28</v>
      </c>
      <c r="G2" s="11" t="s">
        <v>90</v>
      </c>
      <c r="H2" s="3" t="e" cm="1">
        <f t="array" ref="H2">- se comaprtira estimacion de esfeurzo</f>
        <v>#NAME?</v>
      </c>
    </row>
    <row r="3" spans="1:8" x14ac:dyDescent="0.25">
      <c r="A3" s="1" t="s">
        <v>12</v>
      </c>
      <c r="B3" s="5" t="s">
        <v>14</v>
      </c>
      <c r="C3" s="3" t="s">
        <v>13</v>
      </c>
      <c r="D3" s="1" t="s">
        <v>11</v>
      </c>
      <c r="E3" s="2" t="s">
        <v>88</v>
      </c>
      <c r="F3" s="6" t="s">
        <v>15</v>
      </c>
      <c r="G3" s="12" t="s">
        <v>105</v>
      </c>
      <c r="H3" s="3"/>
    </row>
    <row r="4" spans="1:8" x14ac:dyDescent="0.25">
      <c r="A4" s="1" t="s">
        <v>12</v>
      </c>
      <c r="B4" s="5" t="s">
        <v>14</v>
      </c>
      <c r="C4" s="3" t="s">
        <v>13</v>
      </c>
      <c r="D4" s="1" t="s">
        <v>11</v>
      </c>
      <c r="E4" s="2" t="s">
        <v>89</v>
      </c>
      <c r="F4" s="6" t="s">
        <v>15</v>
      </c>
      <c r="G4" s="11" t="s">
        <v>105</v>
      </c>
      <c r="H4" s="3"/>
    </row>
    <row r="5" spans="1:8" x14ac:dyDescent="0.25">
      <c r="A5" s="1" t="s">
        <v>12</v>
      </c>
      <c r="B5" s="5" t="s">
        <v>10</v>
      </c>
      <c r="C5" s="3" t="s">
        <v>27</v>
      </c>
      <c r="D5" s="1" t="s">
        <v>11</v>
      </c>
      <c r="E5" s="2" t="s">
        <v>106</v>
      </c>
      <c r="F5" s="6" t="s">
        <v>15</v>
      </c>
      <c r="G5" s="11" t="s">
        <v>107</v>
      </c>
      <c r="H5" s="3"/>
    </row>
    <row r="6" spans="1:8" x14ac:dyDescent="0.25">
      <c r="A6" s="1" t="s">
        <v>12</v>
      </c>
      <c r="B6" s="7" t="s">
        <v>14</v>
      </c>
      <c r="C6" s="1" t="s">
        <v>13</v>
      </c>
      <c r="D6" s="1" t="s">
        <v>11</v>
      </c>
      <c r="E6" s="2" t="s">
        <v>108</v>
      </c>
      <c r="F6" s="8" t="s">
        <v>15</v>
      </c>
      <c r="G6" s="11" t="s">
        <v>109</v>
      </c>
      <c r="H6" s="3"/>
    </row>
    <row r="7" spans="1:8" ht="15.75" thickBot="1" x14ac:dyDescent="0.3">
      <c r="A7" s="1" t="s">
        <v>12</v>
      </c>
      <c r="B7" s="7" t="s">
        <v>14</v>
      </c>
      <c r="C7" s="3" t="s">
        <v>13</v>
      </c>
      <c r="D7" s="1" t="s">
        <v>11</v>
      </c>
      <c r="E7" s="2" t="s">
        <v>110</v>
      </c>
      <c r="F7" s="6" t="s">
        <v>15</v>
      </c>
      <c r="G7" s="11" t="s">
        <v>111</v>
      </c>
      <c r="H7" s="3"/>
    </row>
    <row r="8" spans="1:8" ht="15.75" thickBot="1" x14ac:dyDescent="0.3">
      <c r="A8" t="s">
        <v>101</v>
      </c>
      <c r="B8" s="23" t="s">
        <v>10</v>
      </c>
      <c r="C8" t="s">
        <v>13</v>
      </c>
      <c r="D8" t="s">
        <v>11</v>
      </c>
      <c r="E8" t="s">
        <v>112</v>
      </c>
      <c r="F8" t="s">
        <v>113</v>
      </c>
      <c r="G8" s="13" t="s">
        <v>111</v>
      </c>
      <c r="H8" t="s">
        <v>114</v>
      </c>
    </row>
    <row r="9" spans="1:8" ht="15.75" thickBot="1" x14ac:dyDescent="0.3">
      <c r="A9" t="s">
        <v>102</v>
      </c>
      <c r="B9" s="24" t="s">
        <v>10</v>
      </c>
      <c r="C9" t="s">
        <v>27</v>
      </c>
      <c r="D9" t="s">
        <v>11</v>
      </c>
      <c r="E9" t="s">
        <v>115</v>
      </c>
      <c r="F9" t="s">
        <v>116</v>
      </c>
      <c r="G9" s="13" t="s">
        <v>111</v>
      </c>
      <c r="H9" t="s">
        <v>114</v>
      </c>
    </row>
    <row r="10" spans="1:8" ht="15.75" thickBot="1" x14ac:dyDescent="0.3">
      <c r="A10" t="s">
        <v>102</v>
      </c>
      <c r="B10" s="24" t="s">
        <v>10</v>
      </c>
      <c r="C10" t="s">
        <v>27</v>
      </c>
      <c r="D10" t="s">
        <v>11</v>
      </c>
      <c r="E10" t="s">
        <v>117</v>
      </c>
      <c r="F10" t="s">
        <v>118</v>
      </c>
      <c r="G10" s="13" t="s">
        <v>139</v>
      </c>
      <c r="H10" t="s">
        <v>119</v>
      </c>
    </row>
    <row r="11" spans="1:8" ht="15.75" thickBot="1" x14ac:dyDescent="0.3">
      <c r="A11" t="s">
        <v>103</v>
      </c>
      <c r="B11" s="24" t="s">
        <v>104</v>
      </c>
      <c r="C11" t="s">
        <v>13</v>
      </c>
      <c r="D11" t="s">
        <v>11</v>
      </c>
      <c r="E11" t="s">
        <v>120</v>
      </c>
      <c r="F11" t="s">
        <v>121</v>
      </c>
      <c r="G11" s="13" t="s">
        <v>91</v>
      </c>
      <c r="H11" t="s">
        <v>122</v>
      </c>
    </row>
    <row r="15" spans="1:8" x14ac:dyDescent="0.25">
      <c r="G15" s="25"/>
    </row>
    <row r="16" spans="1:8" x14ac:dyDescent="0.25">
      <c r="G16" s="25"/>
    </row>
    <row r="17" spans="7:7" x14ac:dyDescent="0.25">
      <c r="G17" s="25"/>
    </row>
    <row r="18" spans="7:7" x14ac:dyDescent="0.25">
      <c r="G18" s="25"/>
    </row>
  </sheetData>
  <pageMargins left="0.75" right="0.75" top="1" bottom="1" header="0.5" footer="0.5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3"/>
  <sheetViews>
    <sheetView zoomScale="156" workbookViewId="0">
      <selection activeCell="A2" sqref="A2:H7"/>
    </sheetView>
  </sheetViews>
  <sheetFormatPr baseColWidth="10" defaultColWidth="9.140625" defaultRowHeight="15" x14ac:dyDescent="0.25"/>
  <cols>
    <col min="7" max="7" width="9.140625" style="13"/>
  </cols>
  <sheetData>
    <row r="1" spans="1:8" x14ac:dyDescent="0.25">
      <c r="A1" s="8" t="s">
        <v>0</v>
      </c>
      <c r="B1" s="9" t="s">
        <v>3</v>
      </c>
      <c r="C1" s="8" t="s">
        <v>2</v>
      </c>
      <c r="D1" t="s">
        <v>4</v>
      </c>
      <c r="E1" t="s">
        <v>1</v>
      </c>
      <c r="F1" t="s">
        <v>6</v>
      </c>
      <c r="G1" s="13" t="s">
        <v>5</v>
      </c>
      <c r="H1" t="s">
        <v>7</v>
      </c>
    </row>
    <row r="2" spans="1:8" x14ac:dyDescent="0.25">
      <c r="A2" s="8" t="s">
        <v>22</v>
      </c>
      <c r="B2" s="9" t="s">
        <v>14</v>
      </c>
      <c r="C2" s="8" t="s">
        <v>13</v>
      </c>
      <c r="D2" s="1" t="s">
        <v>11</v>
      </c>
      <c r="E2" t="s">
        <v>23</v>
      </c>
      <c r="F2" t="s">
        <v>123</v>
      </c>
      <c r="G2" s="11" t="s">
        <v>91</v>
      </c>
      <c r="H2" t="s">
        <v>114</v>
      </c>
    </row>
    <row r="3" spans="1:8" x14ac:dyDescent="0.25">
      <c r="A3" s="2" t="s">
        <v>22</v>
      </c>
      <c r="B3" s="7" t="s">
        <v>14</v>
      </c>
      <c r="C3" s="1" t="s">
        <v>13</v>
      </c>
      <c r="D3" s="1" t="s">
        <v>11</v>
      </c>
      <c r="E3" s="2" t="s">
        <v>24</v>
      </c>
      <c r="F3" s="6" t="s">
        <v>123</v>
      </c>
      <c r="G3" s="11" t="s">
        <v>91</v>
      </c>
      <c r="H3" t="s">
        <v>114</v>
      </c>
    </row>
    <row r="4" spans="1:8" x14ac:dyDescent="0.25">
      <c r="A4" s="1" t="s">
        <v>22</v>
      </c>
      <c r="B4" s="5" t="s">
        <v>10</v>
      </c>
      <c r="C4" s="3" t="s">
        <v>13</v>
      </c>
      <c r="D4" s="1" t="s">
        <v>11</v>
      </c>
      <c r="E4" s="2" t="s">
        <v>25</v>
      </c>
      <c r="F4" s="6" t="s">
        <v>123</v>
      </c>
      <c r="G4" s="11" t="s">
        <v>105</v>
      </c>
      <c r="H4" t="s">
        <v>114</v>
      </c>
    </row>
    <row r="5" spans="1:8" x14ac:dyDescent="0.25">
      <c r="A5" s="1" t="s">
        <v>22</v>
      </c>
      <c r="B5" s="7" t="s">
        <v>14</v>
      </c>
      <c r="C5" s="3" t="s">
        <v>13</v>
      </c>
      <c r="D5" s="1" t="s">
        <v>11</v>
      </c>
      <c r="E5" s="2" t="s">
        <v>26</v>
      </c>
      <c r="F5" s="6" t="s">
        <v>123</v>
      </c>
      <c r="G5" s="11" t="s">
        <v>91</v>
      </c>
      <c r="H5" t="s">
        <v>114</v>
      </c>
    </row>
    <row r="6" spans="1:8" x14ac:dyDescent="0.25">
      <c r="A6" s="1" t="s">
        <v>32</v>
      </c>
      <c r="B6" s="7" t="s">
        <v>14</v>
      </c>
      <c r="C6" s="3" t="s">
        <v>13</v>
      </c>
      <c r="D6" s="1" t="s">
        <v>33</v>
      </c>
      <c r="E6" s="2" t="s">
        <v>34</v>
      </c>
      <c r="F6" s="6" t="s">
        <v>124</v>
      </c>
      <c r="G6" s="11" t="s">
        <v>29</v>
      </c>
      <c r="H6" t="s">
        <v>9</v>
      </c>
    </row>
    <row r="7" spans="1:8" ht="64.5" x14ac:dyDescent="0.25">
      <c r="A7" s="8" t="s">
        <v>125</v>
      </c>
      <c r="B7" s="10" t="s">
        <v>10</v>
      </c>
      <c r="C7" s="8" t="s">
        <v>13</v>
      </c>
      <c r="D7" s="8" t="s">
        <v>33</v>
      </c>
      <c r="E7" s="8" t="s">
        <v>126</v>
      </c>
      <c r="F7" s="15" t="s">
        <v>127</v>
      </c>
      <c r="G7" s="14" t="s">
        <v>107</v>
      </c>
      <c r="H7" s="15" t="s">
        <v>128</v>
      </c>
    </row>
    <row r="8" spans="1:8" x14ac:dyDescent="0.25">
      <c r="A8" s="8"/>
      <c r="B8" s="10"/>
      <c r="C8" s="8"/>
      <c r="D8" s="8"/>
      <c r="E8" s="8"/>
      <c r="F8" s="8"/>
      <c r="G8" s="14"/>
      <c r="H8" s="8"/>
    </row>
    <row r="9" spans="1:8" x14ac:dyDescent="0.25">
      <c r="A9" s="8"/>
      <c r="B9" s="10"/>
      <c r="C9" s="8"/>
      <c r="D9" s="8"/>
      <c r="E9" s="8"/>
      <c r="F9" s="15"/>
      <c r="G9" s="14"/>
      <c r="H9" s="8"/>
    </row>
    <row r="10" spans="1:8" x14ac:dyDescent="0.25">
      <c r="H10" s="3"/>
    </row>
    <row r="11" spans="1:8" x14ac:dyDescent="0.25">
      <c r="H11" s="3"/>
    </row>
    <row r="12" spans="1:8" x14ac:dyDescent="0.25">
      <c r="H12" s="3"/>
    </row>
    <row r="13" spans="1:8" x14ac:dyDescent="0.25">
      <c r="H13" s="3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3"/>
  <sheetViews>
    <sheetView zoomScale="170" workbookViewId="0">
      <selection activeCell="G3" sqref="G3"/>
    </sheetView>
  </sheetViews>
  <sheetFormatPr baseColWidth="10" defaultColWidth="9.140625" defaultRowHeight="15" x14ac:dyDescent="0.25"/>
  <sheetData>
    <row r="1" spans="1:8" x14ac:dyDescent="0.25">
      <c r="A1" s="8" t="s">
        <v>0</v>
      </c>
      <c r="B1" s="9" t="s">
        <v>3</v>
      </c>
      <c r="C1" s="8" t="s">
        <v>2</v>
      </c>
      <c r="D1" t="s">
        <v>4</v>
      </c>
      <c r="E1" t="s">
        <v>1</v>
      </c>
      <c r="F1" t="s">
        <v>6</v>
      </c>
      <c r="G1" t="s">
        <v>5</v>
      </c>
      <c r="H1" t="s">
        <v>7</v>
      </c>
    </row>
    <row r="2" spans="1:8" ht="28.5" x14ac:dyDescent="0.25">
      <c r="A2" s="8" t="s">
        <v>129</v>
      </c>
      <c r="B2" s="10" t="s">
        <v>14</v>
      </c>
      <c r="C2" s="8" t="s">
        <v>13</v>
      </c>
      <c r="D2" s="8" t="s">
        <v>20</v>
      </c>
      <c r="E2" s="8" t="s">
        <v>130</v>
      </c>
      <c r="F2" s="15" t="s">
        <v>131</v>
      </c>
      <c r="G2" s="14" t="s">
        <v>140</v>
      </c>
      <c r="H2" s="8" t="s">
        <v>132</v>
      </c>
    </row>
    <row r="3" spans="1:8" ht="409.5" x14ac:dyDescent="0.25">
      <c r="A3" t="s">
        <v>40</v>
      </c>
      <c r="B3" t="s">
        <v>10</v>
      </c>
      <c r="C3" t="s">
        <v>13</v>
      </c>
      <c r="D3" t="s">
        <v>20</v>
      </c>
      <c r="E3" t="s">
        <v>41</v>
      </c>
      <c r="F3" s="26" t="s">
        <v>42</v>
      </c>
      <c r="G3" t="s">
        <v>39</v>
      </c>
      <c r="H3" t="s">
        <v>43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68150-4F55-4735-90F1-9B5FA7480780}">
  <dimension ref="A1:H16"/>
  <sheetViews>
    <sheetView zoomScale="148" workbookViewId="0">
      <selection activeCell="A2" sqref="A2:H16"/>
    </sheetView>
  </sheetViews>
  <sheetFormatPr baseColWidth="10" defaultColWidth="9.140625" defaultRowHeight="15" x14ac:dyDescent="0.25"/>
  <cols>
    <col min="1" max="1" width="31" bestFit="1" customWidth="1"/>
    <col min="2" max="2" width="8.85546875" bestFit="1" customWidth="1"/>
    <col min="3" max="3" width="5.7109375" bestFit="1" customWidth="1"/>
    <col min="4" max="4" width="22.7109375" bestFit="1" customWidth="1"/>
    <col min="5" max="5" width="57.140625" bestFit="1" customWidth="1"/>
    <col min="6" max="6" width="172.42578125" bestFit="1" customWidth="1"/>
    <col min="7" max="7" width="11.140625" style="13" bestFit="1" customWidth="1"/>
    <col min="8" max="8" width="82.85546875" bestFit="1" customWidth="1"/>
  </cols>
  <sheetData>
    <row r="1" spans="1:8" ht="15.75" thickBot="1" x14ac:dyDescent="0.3">
      <c r="A1" s="8" t="s">
        <v>0</v>
      </c>
      <c r="B1" s="9" t="s">
        <v>3</v>
      </c>
      <c r="C1" s="8" t="s">
        <v>2</v>
      </c>
      <c r="D1" t="s">
        <v>4</v>
      </c>
      <c r="E1" t="s">
        <v>1</v>
      </c>
      <c r="F1" t="s">
        <v>6</v>
      </c>
      <c r="G1" s="13" t="s">
        <v>5</v>
      </c>
      <c r="H1" t="s">
        <v>7</v>
      </c>
    </row>
    <row r="2" spans="1:8" ht="20.25" thickBot="1" x14ac:dyDescent="0.3">
      <c r="A2" s="17" t="s">
        <v>35</v>
      </c>
      <c r="B2" s="10" t="s">
        <v>10</v>
      </c>
      <c r="C2" s="8" t="s">
        <v>13</v>
      </c>
      <c r="D2" s="8" t="s">
        <v>18</v>
      </c>
      <c r="E2" s="8" t="s">
        <v>36</v>
      </c>
      <c r="F2" s="15" t="s">
        <v>37</v>
      </c>
      <c r="G2" s="21" t="s">
        <v>92</v>
      </c>
      <c r="H2" s="8" t="s">
        <v>38</v>
      </c>
    </row>
    <row r="3" spans="1:8" ht="29.25" thickBot="1" x14ac:dyDescent="0.3">
      <c r="A3" s="18" t="s">
        <v>16</v>
      </c>
      <c r="B3" s="10" t="s">
        <v>10</v>
      </c>
      <c r="C3" s="8" t="s">
        <v>13</v>
      </c>
      <c r="D3" s="8" t="s">
        <v>18</v>
      </c>
      <c r="E3" s="8" t="s">
        <v>17</v>
      </c>
      <c r="F3" s="15" t="s">
        <v>30</v>
      </c>
      <c r="G3" s="21" t="s">
        <v>19</v>
      </c>
      <c r="H3" s="15" t="s">
        <v>31</v>
      </c>
    </row>
    <row r="4" spans="1:8" ht="60.75" thickBot="1" x14ac:dyDescent="0.3">
      <c r="A4" s="18" t="s">
        <v>44</v>
      </c>
      <c r="B4" s="10" t="s">
        <v>10</v>
      </c>
      <c r="C4" t="s">
        <v>13</v>
      </c>
      <c r="D4" t="s">
        <v>45</v>
      </c>
      <c r="E4" t="s">
        <v>46</v>
      </c>
      <c r="F4" s="26" t="s">
        <v>47</v>
      </c>
      <c r="G4" s="21" t="s">
        <v>93</v>
      </c>
      <c r="H4" s="26" t="s">
        <v>48</v>
      </c>
    </row>
    <row r="5" spans="1:8" ht="30.75" thickBot="1" x14ac:dyDescent="0.3">
      <c r="A5" s="18" t="s">
        <v>21</v>
      </c>
      <c r="B5" s="10" t="s">
        <v>10</v>
      </c>
      <c r="C5" t="s">
        <v>13</v>
      </c>
      <c r="D5" t="s">
        <v>11</v>
      </c>
      <c r="E5" s="26" t="s">
        <v>49</v>
      </c>
      <c r="F5" t="s">
        <v>50</v>
      </c>
      <c r="G5" s="22" t="s">
        <v>19</v>
      </c>
      <c r="H5" t="s">
        <v>133</v>
      </c>
    </row>
    <row r="6" spans="1:8" ht="15.75" thickBot="1" x14ac:dyDescent="0.3">
      <c r="A6" s="19" t="s">
        <v>51</v>
      </c>
      <c r="B6" s="10" t="s">
        <v>134</v>
      </c>
      <c r="C6" t="s">
        <v>27</v>
      </c>
      <c r="D6" t="s">
        <v>52</v>
      </c>
      <c r="E6" t="s">
        <v>53</v>
      </c>
      <c r="F6" t="s">
        <v>54</v>
      </c>
      <c r="G6" s="22" t="s">
        <v>135</v>
      </c>
      <c r="H6" t="s">
        <v>55</v>
      </c>
    </row>
    <row r="7" spans="1:8" ht="15.75" thickBot="1" x14ac:dyDescent="0.3">
      <c r="A7" s="18" t="s">
        <v>56</v>
      </c>
      <c r="B7" s="10" t="s">
        <v>134</v>
      </c>
      <c r="C7" t="s">
        <v>27</v>
      </c>
      <c r="D7" t="s">
        <v>52</v>
      </c>
      <c r="E7" t="s">
        <v>57</v>
      </c>
      <c r="F7" t="s">
        <v>58</v>
      </c>
      <c r="G7" s="22" t="s">
        <v>100</v>
      </c>
      <c r="H7" t="s">
        <v>55</v>
      </c>
    </row>
    <row r="8" spans="1:8" ht="15.75" thickBot="1" x14ac:dyDescent="0.3">
      <c r="A8" s="18" t="s">
        <v>59</v>
      </c>
      <c r="B8" s="10" t="s">
        <v>134</v>
      </c>
      <c r="C8" t="s">
        <v>27</v>
      </c>
      <c r="D8" t="s">
        <v>11</v>
      </c>
      <c r="E8" t="s">
        <v>60</v>
      </c>
      <c r="F8" t="s">
        <v>61</v>
      </c>
      <c r="G8" s="22" t="s">
        <v>94</v>
      </c>
      <c r="H8" t="s">
        <v>55</v>
      </c>
    </row>
    <row r="9" spans="1:8" ht="15.75" thickBot="1" x14ac:dyDescent="0.3">
      <c r="A9" s="18" t="s">
        <v>62</v>
      </c>
      <c r="B9" s="10" t="s">
        <v>134</v>
      </c>
      <c r="C9" t="s">
        <v>27</v>
      </c>
      <c r="D9" t="s">
        <v>63</v>
      </c>
      <c r="E9" t="s">
        <v>64</v>
      </c>
      <c r="F9" t="s">
        <v>65</v>
      </c>
      <c r="G9" s="22" t="s">
        <v>94</v>
      </c>
      <c r="H9" t="s">
        <v>55</v>
      </c>
    </row>
    <row r="10" spans="1:8" ht="60.75" thickBot="1" x14ac:dyDescent="0.3">
      <c r="A10" s="18" t="s">
        <v>51</v>
      </c>
      <c r="B10" s="10" t="s">
        <v>136</v>
      </c>
      <c r="C10" t="s">
        <v>13</v>
      </c>
      <c r="D10" t="s">
        <v>11</v>
      </c>
      <c r="E10" t="s">
        <v>66</v>
      </c>
      <c r="F10" s="26" t="s">
        <v>67</v>
      </c>
      <c r="G10" s="22" t="s">
        <v>95</v>
      </c>
      <c r="H10" t="s">
        <v>55</v>
      </c>
    </row>
    <row r="11" spans="1:8" ht="15.75" thickBot="1" x14ac:dyDescent="0.3">
      <c r="A11" s="20" t="s">
        <v>12</v>
      </c>
      <c r="B11" s="10" t="s">
        <v>134</v>
      </c>
      <c r="C11" t="s">
        <v>27</v>
      </c>
      <c r="D11" t="s">
        <v>11</v>
      </c>
      <c r="E11" t="s">
        <v>68</v>
      </c>
      <c r="F11" t="s">
        <v>69</v>
      </c>
      <c r="G11" s="22" t="s">
        <v>96</v>
      </c>
      <c r="H11" t="s">
        <v>55</v>
      </c>
    </row>
    <row r="12" spans="1:8" ht="15.75" thickBot="1" x14ac:dyDescent="0.3">
      <c r="A12" t="s">
        <v>12</v>
      </c>
      <c r="B12" s="10" t="s">
        <v>134</v>
      </c>
      <c r="C12" t="s">
        <v>27</v>
      </c>
      <c r="D12" t="s">
        <v>11</v>
      </c>
      <c r="E12" t="s">
        <v>70</v>
      </c>
      <c r="F12" t="s">
        <v>71</v>
      </c>
      <c r="G12" s="22" t="s">
        <v>137</v>
      </c>
      <c r="H12" t="s">
        <v>55</v>
      </c>
    </row>
    <row r="13" spans="1:8" ht="15.75" thickBot="1" x14ac:dyDescent="0.3">
      <c r="A13" t="s">
        <v>72</v>
      </c>
      <c r="B13" t="s">
        <v>138</v>
      </c>
      <c r="C13" t="s">
        <v>27</v>
      </c>
      <c r="D13" t="s">
        <v>11</v>
      </c>
      <c r="E13" t="s">
        <v>73</v>
      </c>
      <c r="F13" t="s">
        <v>74</v>
      </c>
      <c r="G13" s="22" t="s">
        <v>95</v>
      </c>
      <c r="H13" t="s">
        <v>75</v>
      </c>
    </row>
    <row r="14" spans="1:8" ht="15.75" thickBot="1" x14ac:dyDescent="0.3">
      <c r="A14" t="s">
        <v>76</v>
      </c>
      <c r="B14" t="s">
        <v>97</v>
      </c>
      <c r="C14" t="s">
        <v>27</v>
      </c>
      <c r="D14" t="s">
        <v>11</v>
      </c>
      <c r="E14" t="s">
        <v>77</v>
      </c>
      <c r="F14" t="s">
        <v>78</v>
      </c>
      <c r="G14" s="22" t="s">
        <v>96</v>
      </c>
      <c r="H14" t="s">
        <v>79</v>
      </c>
    </row>
    <row r="15" spans="1:8" ht="45" x14ac:dyDescent="0.25">
      <c r="A15" t="s">
        <v>80</v>
      </c>
      <c r="B15" t="s">
        <v>97</v>
      </c>
      <c r="C15" t="s">
        <v>13</v>
      </c>
      <c r="D15" t="s">
        <v>18</v>
      </c>
      <c r="E15" t="s">
        <v>81</v>
      </c>
      <c r="F15" s="26" t="s">
        <v>82</v>
      </c>
      <c r="G15" s="13" t="s">
        <v>98</v>
      </c>
      <c r="H15" s="26" t="s">
        <v>83</v>
      </c>
    </row>
    <row r="16" spans="1:8" ht="45" x14ac:dyDescent="0.25">
      <c r="A16" t="s">
        <v>84</v>
      </c>
      <c r="B16" t="s">
        <v>97</v>
      </c>
      <c r="C16" t="s">
        <v>13</v>
      </c>
      <c r="D16" t="s">
        <v>18</v>
      </c>
      <c r="E16" t="s">
        <v>85</v>
      </c>
      <c r="F16" s="26" t="s">
        <v>86</v>
      </c>
      <c r="G16" s="13" t="s">
        <v>99</v>
      </c>
      <c r="H16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dbMegara</vt:lpstr>
      <vt:lpstr>dbReporting</vt:lpstr>
      <vt:lpstr>dbInfra</vt:lpstr>
      <vt:lpstr>dbUAT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Marco Jesus  Pichardo Franco</cp:lastModifiedBy>
  <dcterms:created xsi:type="dcterms:W3CDTF">2026-05-21T07:12:31Z</dcterms:created>
  <dcterms:modified xsi:type="dcterms:W3CDTF">2026-06-12T06:50:36Z</dcterms:modified>
</cp:coreProperties>
</file>